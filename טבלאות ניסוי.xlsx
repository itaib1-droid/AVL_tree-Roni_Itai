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aibs7/Desktop/tau/symesterB/מבני נתונים/תרגיל מעשי/"/>
    </mc:Choice>
  </mc:AlternateContent>
  <xr:revisionPtr revIDLastSave="0" documentId="13_ncr:1_{9F26A43F-D7A4-8D4B-BDAD-44B38E81AF60}" xr6:coauthVersionLast="47" xr6:coauthVersionMax="47" xr10:uidLastSave="{00000000-0000-0000-0000-000000000000}"/>
  <bookViews>
    <workbookView xWindow="0" yWindow="500" windowWidth="25600" windowHeight="14380" xr2:uid="{70A1D145-00FE-FD45-B8D4-6388101F6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40" i="1"/>
  <c r="D41" i="1"/>
  <c r="D42" i="1"/>
  <c r="D38" i="1"/>
  <c r="F39" i="1"/>
  <c r="F42" i="1"/>
  <c r="F41" i="1"/>
  <c r="F40" i="1"/>
  <c r="F38" i="1"/>
  <c r="H38" i="1"/>
  <c r="H39" i="1"/>
  <c r="H40" i="1"/>
  <c r="H41" i="1"/>
  <c r="H42" i="1"/>
  <c r="J38" i="1"/>
  <c r="J39" i="1"/>
  <c r="J40" i="1"/>
  <c r="J41" i="1"/>
  <c r="J42" i="1"/>
  <c r="F32" i="1"/>
  <c r="F33" i="1"/>
  <c r="F3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<sst xmlns="http://schemas.openxmlformats.org/spreadsheetml/2006/main" count="28" uniqueCount="18">
  <si>
    <t xml:space="preserve">מס׳ סידורי </t>
  </si>
  <si>
    <t>עלות איזון מערך ממוין הפוך</t>
  </si>
  <si>
    <t>עלות איזון מערך מסודר אקראית</t>
  </si>
  <si>
    <t>עלות איזון מערך עם היפוכים סמוכים אקראיים</t>
  </si>
  <si>
    <t xml:space="preserve">עלות איזון מערך  ממוין </t>
  </si>
  <si>
    <t xml:space="preserve">עלות  חיפוש במערך  ממוין </t>
  </si>
  <si>
    <t>עלות חיפוש במערך ממוין הפוך</t>
  </si>
  <si>
    <t>עלות חיפוש במערך מסודר אקראית</t>
  </si>
  <si>
    <t>עלות חיפוש מערך עם היפוכים סמוכים אקראיים</t>
  </si>
  <si>
    <t>גודל מערך</t>
  </si>
  <si>
    <t xml:space="preserve">גבול עליון עבור מערך ממוין </t>
  </si>
  <si>
    <t>תוצאות ניסוי עבור מערך ממוין</t>
  </si>
  <si>
    <t xml:space="preserve">גבול עליון עבור מערך ממוין הפוך </t>
  </si>
  <si>
    <t>תוצאות ניסוי עבור מערך ממוין הפוך</t>
  </si>
  <si>
    <t>גבול עליון במערך מסודר אקראית</t>
  </si>
  <si>
    <t>תוצאות ניסוי במערך מסודר אקראית</t>
  </si>
  <si>
    <t>גבול עליון עבור מערך עם היפוכים סמוכים אקראיים</t>
  </si>
  <si>
    <t>תוצאות ניסוי עבור מערך עם היפוכים סמוכים אקראיים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</si>
</sst>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 readingOrder="2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29"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/>
    </dxf>
    <dxf>
      <numFmt numFmtId="0" formatCode="General"/>
      <alignment horizontal="center" vertical="center" textRotation="0" wrapText="1" indent="0" justifyLastLine="0" shrinkToFit="0"/>
    </dxf>
    <dxf>
      <font>
        <color rgb="FF000000"/>
      </font>
      <fill>
        <patternFill patternType="solid">
          <fgColor rgb="FFC0E6F5"/>
          <bgColor rgb="FFC0E6F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font>
        <color rgb="FF000000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  <dxf>
      <alignment horizontal="center" vertical="center" textRotation="0" wrapText="1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F62F8-95EC-774F-B3DB-07D01BBB5924}" name="Table1" displayName="Table1" ref="C4:H14" totalsRowShown="0" headerRowDxfId="28" dataDxfId="27">
  <autoFilter ref="C4:H14" xr:uid="{BE7F62F8-95EC-774F-B3DB-07D01BBB5924}"/>
  <tableColumns count="6">
    <tableColumn id="9" xr3:uid="{76598F39-050A-8048-8154-F4174755D8C6}" name="עלות איזון מערך עם היפוכים סמוכים אקראיים" dataDxfId="26"/>
    <tableColumn id="10" xr3:uid="{DD02F48E-2A6B-3A4F-9888-A4CB90A1B34B}" name="עלות איזון מערך מסודר אקראית" dataDxfId="25"/>
    <tableColumn id="11" xr3:uid="{91E0BA4D-33D7-9248-95F2-5B5207130F1E}" name="עלות איזון מערך ממוין הפוך" dataDxfId="24"/>
    <tableColumn id="12" xr3:uid="{5B27DF4A-C0E1-B048-9CED-94DB150DD0DA}" name="עלות איזון מערך  ממוין " dataDxfId="23"/>
    <tableColumn id="13" xr3:uid="{AF907947-EDCF-9A4D-AAF5-72A1664B603A}" name="גודל מערך" dataDxfId="22"/>
    <tableColumn id="1" xr3:uid="{D6448527-872D-7B41-BDD5-4235BD4A7A05}" name="מס׳ סידורי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10A53F-9A9E-5B4C-96CA-08C4C5F20735}" name="Table14" displayName="Table14" ref="C17:H22" totalsRowShown="0" headerRowDxfId="21" dataDxfId="20">
  <autoFilter ref="C17:H22" xr:uid="{8410A53F-9A9E-5B4C-96CA-08C4C5F20735}"/>
  <tableColumns count="6">
    <tableColumn id="9" xr3:uid="{B764F3CD-DA8D-7D48-AF54-DA4073F110DA}" name="עלות איזון מערך עם היפוכים סמוכים אקראיים" dataDxfId="19"/>
    <tableColumn id="10" xr3:uid="{B4E3209B-73A4-644A-9633-F5E9C5F49BA6}" name="עלות איזון מערך מסודר אקראית" dataDxfId="18"/>
    <tableColumn id="11" xr3:uid="{E4EE1331-13C0-ED42-B985-FFA0F9C52FCF}" name="עלות איזון מערך ממוין הפוך" dataDxfId="17"/>
    <tableColumn id="12" xr3:uid="{A17443DD-290C-EF4A-800B-13686AB4A8B7}" name="עלות איזון מערך  ממוין " dataDxfId="16"/>
    <tableColumn id="1" xr3:uid="{4E235355-5C51-9E4E-93CA-0229EA0998D7}" name="גודל מערך" dataDxfId="15"/>
    <tableColumn id="13" xr3:uid="{578A89AE-478D-8649-BC60-B1BE1F4E8A4A}" name="מס׳ סידורי 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DF9C65-0F81-3A4B-B142-C6B3D1758447}" name="Table145" displayName="Table145" ref="C24:H34" totalsRowShown="0" headerRowDxfId="13" dataDxfId="12">
  <autoFilter ref="C24:H34" xr:uid="{9ADF9C65-0F81-3A4B-B142-C6B3D1758447}"/>
  <tableColumns count="6">
    <tableColumn id="9" xr3:uid="{BE7C99E1-BF78-EA45-8C93-EC625B125FB5}" name="עלות חיפוש מערך עם היפוכים סמוכים אקראיים" dataDxfId="11"/>
    <tableColumn id="10" xr3:uid="{D66A2206-CAA5-AF4F-AC87-20A75B5D7A16}" name="עלות חיפוש במערך מסודר אקראית" dataDxfId="10"/>
    <tableColumn id="11" xr3:uid="{A06DC026-FD08-5244-AA45-4CAA1CF1D2BB}" name="עלות חיפוש במערך ממוין הפוך" dataDxfId="9"/>
    <tableColumn id="12" xr3:uid="{52C10E6F-EB22-4045-9102-492B4EC150A5}" name="עלות  חיפוש במערך  ממוין " dataDxfId="8">
      <calculatedColumnFormula>Table145[[#This Row],[גודל מערך]]-1</calculatedColumnFormula>
    </tableColumn>
    <tableColumn id="1" xr3:uid="{46495E27-5151-844B-831A-49877EC51EDE}" name="גודל מערך"/>
    <tableColumn id="13" xr3:uid="{70F34C16-1CB2-DB4E-8035-A4EC8C6BA012}" name="מס׳ סידורי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471654-34B8-8047-93A3-91217D25B5E2}" name="Table146" displayName="Table146" ref="G37:L42" totalsRowShown="0" headerRowDxfId="7" dataDxfId="6">
  <autoFilter ref="G37:L42" xr:uid="{15471654-34B8-8047-93A3-91217D25B5E2}"/>
  <tableColumns count="6">
    <tableColumn id="9" xr3:uid="{788DA736-DC6B-F94C-B4BD-40416A595BE6}" name="תוצאות ניסוי עבור מערך ממוין הפוך" dataDxfId="0"/>
    <tableColumn id="10" xr3:uid="{81D294E7-83C7-4B49-B9AB-BBE8099046BA}" name="גבול עליון עבור מערך ממוין הפוך " dataDxfId="1">
      <calculatedColumnFormula xml:space="preserve"> Table146[[#This Row],[גודל מערך]] * LOG(E18/Table146[[#This Row],[גודל מערך]] +2, 2)</calculatedColumnFormula>
    </tableColumn>
    <tableColumn id="11" xr3:uid="{75919DB0-8E3C-574A-9E62-6B4B3F5E8368}" name="תוצאות ניסוי עבור מערך ממוין" dataDxfId="3"/>
    <tableColumn id="12" xr3:uid="{65B103FC-3B3D-3A49-8564-0A4C2F4A9D42}" name="גבול עליון עבור מערך ממוין " dataDxfId="2">
      <calculatedColumnFormula xml:space="preserve"> Table146[[#This Row],[גודל מערך]] * LOG(F18/Table146[[#This Row],[גודל מערך]] +2, 2)</calculatedColumnFormula>
    </tableColumn>
    <tableColumn id="1" xr3:uid="{A14F83AA-D885-DE46-8A4D-787F4ABE4AE4}" name="גודל מערך" dataDxfId="5"/>
    <tableColumn id="13" xr3:uid="{1A5888C6-03A6-804D-A811-D079BFB6E470}" name="מס׳ סידורי 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A0D9-CC45-A047-94C1-B0B20450CA37}">
  <dimension ref="C4:L42"/>
  <sheetViews>
    <sheetView tabSelected="1" topLeftCell="A27" zoomScale="118" workbookViewId="0">
      <selection activeCell="C38" sqref="C38:C42"/>
    </sheetView>
  </sheetViews>
  <sheetFormatPr baseColWidth="10" defaultRowHeight="16" x14ac:dyDescent="0.2"/>
  <cols>
    <col min="3" max="3" width="18.33203125" bestFit="1" customWidth="1"/>
    <col min="4" max="4" width="15.1640625" bestFit="1" customWidth="1"/>
    <col min="5" max="5" width="14.6640625" bestFit="1" customWidth="1"/>
    <col min="6" max="6" width="17.33203125" bestFit="1" customWidth="1"/>
    <col min="7" max="7" width="12" customWidth="1"/>
    <col min="8" max="8" width="11.6640625" bestFit="1" customWidth="1"/>
    <col min="10" max="10" width="11.6640625" bestFit="1" customWidth="1"/>
  </cols>
  <sheetData>
    <row r="4" spans="3:8" ht="62" customHeight="1" x14ac:dyDescent="0.2">
      <c r="C4" s="1" t="s">
        <v>3</v>
      </c>
      <c r="D4" s="1" t="s">
        <v>2</v>
      </c>
      <c r="E4" s="2" t="s">
        <v>1</v>
      </c>
      <c r="F4" s="2" t="s">
        <v>4</v>
      </c>
      <c r="G4" s="2" t="s">
        <v>9</v>
      </c>
      <c r="H4" s="1" t="s">
        <v>0</v>
      </c>
    </row>
    <row r="5" spans="3:8" x14ac:dyDescent="0.2">
      <c r="C5" s="2">
        <v>1180</v>
      </c>
      <c r="D5" s="2">
        <v>1061</v>
      </c>
      <c r="E5" s="2">
        <v>1196</v>
      </c>
      <c r="F5" s="2">
        <v>1196</v>
      </c>
      <c r="G5" s="2">
        <v>600</v>
      </c>
      <c r="H5" s="3">
        <v>1</v>
      </c>
    </row>
    <row r="6" spans="3:8" x14ac:dyDescent="0.2">
      <c r="C6" s="2">
        <v>2339</v>
      </c>
      <c r="D6" s="2">
        <v>2116</v>
      </c>
      <c r="E6" s="2">
        <v>2396</v>
      </c>
      <c r="F6" s="2">
        <v>2396</v>
      </c>
      <c r="G6" s="2">
        <v>1200</v>
      </c>
      <c r="H6" s="4">
        <v>2</v>
      </c>
    </row>
    <row r="7" spans="3:8" x14ac:dyDescent="0.2">
      <c r="C7" s="2">
        <v>4738</v>
      </c>
      <c r="D7" s="2">
        <v>4273</v>
      </c>
      <c r="E7" s="2">
        <v>4796</v>
      </c>
      <c r="F7" s="2">
        <v>4796</v>
      </c>
      <c r="G7" s="2">
        <v>2400</v>
      </c>
      <c r="H7" s="3">
        <v>3</v>
      </c>
    </row>
    <row r="8" spans="3:8" x14ac:dyDescent="0.2">
      <c r="C8" s="2">
        <v>9437</v>
      </c>
      <c r="D8" s="2">
        <v>8636</v>
      </c>
      <c r="E8" s="2">
        <v>9596</v>
      </c>
      <c r="F8" s="2">
        <v>9596</v>
      </c>
      <c r="G8" s="2">
        <v>4800</v>
      </c>
      <c r="H8" s="4">
        <v>4</v>
      </c>
    </row>
    <row r="9" spans="3:8" x14ac:dyDescent="0.2">
      <c r="C9" s="2">
        <v>18862</v>
      </c>
      <c r="D9" s="2">
        <v>17006</v>
      </c>
      <c r="E9" s="2">
        <v>19196</v>
      </c>
      <c r="F9" s="2">
        <v>19196</v>
      </c>
      <c r="G9" s="2">
        <v>9600</v>
      </c>
      <c r="H9" s="3">
        <v>5</v>
      </c>
    </row>
    <row r="10" spans="3:8" x14ac:dyDescent="0.2">
      <c r="C10" s="2">
        <v>37963</v>
      </c>
      <c r="D10" s="2">
        <v>34423</v>
      </c>
      <c r="E10" s="2">
        <v>38396</v>
      </c>
      <c r="F10" s="2">
        <v>38396</v>
      </c>
      <c r="G10" s="2">
        <v>19200</v>
      </c>
      <c r="H10" s="4">
        <v>6</v>
      </c>
    </row>
    <row r="11" spans="3:8" x14ac:dyDescent="0.2">
      <c r="C11" s="2">
        <v>75858</v>
      </c>
      <c r="D11" s="2">
        <v>68469</v>
      </c>
      <c r="E11" s="2">
        <v>76796</v>
      </c>
      <c r="F11" s="2">
        <v>76796</v>
      </c>
      <c r="G11" s="2">
        <v>38400</v>
      </c>
      <c r="H11" s="3">
        <v>7</v>
      </c>
    </row>
    <row r="12" spans="3:8" x14ac:dyDescent="0.2">
      <c r="C12" s="2">
        <v>151563</v>
      </c>
      <c r="D12" s="2">
        <v>137368</v>
      </c>
      <c r="E12" s="2">
        <v>153596</v>
      </c>
      <c r="F12" s="2">
        <v>153596</v>
      </c>
      <c r="G12" s="2">
        <v>76800</v>
      </c>
      <c r="H12" s="4">
        <v>8</v>
      </c>
    </row>
    <row r="13" spans="3:8" x14ac:dyDescent="0.2">
      <c r="C13" s="2">
        <v>303531</v>
      </c>
      <c r="D13" s="2">
        <v>274007</v>
      </c>
      <c r="E13" s="2">
        <v>307196</v>
      </c>
      <c r="F13" s="2">
        <v>307196</v>
      </c>
      <c r="G13" s="2">
        <v>153600</v>
      </c>
      <c r="H13" s="3">
        <v>9</v>
      </c>
    </row>
    <row r="14" spans="3:8" x14ac:dyDescent="0.2">
      <c r="C14" s="2">
        <v>607287</v>
      </c>
      <c r="D14" s="2">
        <v>548656</v>
      </c>
      <c r="E14" s="2">
        <v>614396</v>
      </c>
      <c r="F14" s="2">
        <v>614396</v>
      </c>
      <c r="G14" s="2">
        <v>307200</v>
      </c>
      <c r="H14" s="4">
        <v>10</v>
      </c>
    </row>
    <row r="17" spans="3:8" ht="51" x14ac:dyDescent="0.2">
      <c r="C17" s="1" t="s">
        <v>3</v>
      </c>
      <c r="D17" s="1" t="s">
        <v>2</v>
      </c>
      <c r="E17" s="2" t="s">
        <v>1</v>
      </c>
      <c r="F17" s="2" t="s">
        <v>4</v>
      </c>
      <c r="G17" s="2" t="s">
        <v>9</v>
      </c>
      <c r="H17" s="2" t="s">
        <v>0</v>
      </c>
    </row>
    <row r="18" spans="3:8" x14ac:dyDescent="0.2">
      <c r="C18" s="2">
        <v>305</v>
      </c>
      <c r="D18" s="2">
        <v>92818</v>
      </c>
      <c r="E18" s="2">
        <v>179700</v>
      </c>
      <c r="F18" s="2">
        <v>0</v>
      </c>
      <c r="G18" s="2">
        <v>600</v>
      </c>
      <c r="H18" s="2">
        <v>1</v>
      </c>
    </row>
    <row r="19" spans="3:8" x14ac:dyDescent="0.2">
      <c r="C19" s="2">
        <v>600</v>
      </c>
      <c r="D19" s="2">
        <v>355039</v>
      </c>
      <c r="E19" s="2">
        <v>719400</v>
      </c>
      <c r="F19" s="2">
        <v>0</v>
      </c>
      <c r="G19" s="2">
        <v>1200</v>
      </c>
      <c r="H19" s="2">
        <v>2</v>
      </c>
    </row>
    <row r="20" spans="3:8" x14ac:dyDescent="0.2">
      <c r="C20" s="2">
        <v>1145</v>
      </c>
      <c r="D20" s="2">
        <v>1443362</v>
      </c>
      <c r="E20" s="2">
        <v>2878800</v>
      </c>
      <c r="F20" s="2">
        <v>0</v>
      </c>
      <c r="G20" s="2">
        <v>2400</v>
      </c>
      <c r="H20" s="2">
        <v>3</v>
      </c>
    </row>
    <row r="21" spans="3:8" x14ac:dyDescent="0.2">
      <c r="C21" s="2">
        <v>2393</v>
      </c>
      <c r="D21" s="2">
        <v>5682614</v>
      </c>
      <c r="E21" s="2">
        <v>11517600</v>
      </c>
      <c r="F21" s="2">
        <v>0</v>
      </c>
      <c r="G21" s="2">
        <v>4800</v>
      </c>
      <c r="H21" s="2">
        <v>4</v>
      </c>
    </row>
    <row r="22" spans="3:8" x14ac:dyDescent="0.2">
      <c r="C22" s="2">
        <v>4809</v>
      </c>
      <c r="D22" s="2">
        <v>23113272</v>
      </c>
      <c r="E22" s="2">
        <v>46075200</v>
      </c>
      <c r="F22" s="2">
        <v>0</v>
      </c>
      <c r="G22" s="2">
        <v>9600</v>
      </c>
      <c r="H22" s="2">
        <v>5</v>
      </c>
    </row>
    <row r="24" spans="3:8" ht="51" x14ac:dyDescent="0.2">
      <c r="C24" s="1" t="s">
        <v>8</v>
      </c>
      <c r="D24" s="1" t="s">
        <v>7</v>
      </c>
      <c r="E24" s="2" t="s">
        <v>6</v>
      </c>
      <c r="F24" s="2" t="s">
        <v>5</v>
      </c>
      <c r="G24" s="1" t="s">
        <v>9</v>
      </c>
      <c r="H24" s="5" t="s">
        <v>0</v>
      </c>
    </row>
    <row r="25" spans="3:8" x14ac:dyDescent="0.2">
      <c r="C25" s="2">
        <v>777</v>
      </c>
      <c r="D25" s="2">
        <v>7612</v>
      </c>
      <c r="E25" s="2">
        <v>9012</v>
      </c>
      <c r="F25" s="3">
        <f>Table145[[#This Row],[גודל מערך]]-1</f>
        <v>599</v>
      </c>
      <c r="G25" s="3">
        <v>600</v>
      </c>
      <c r="H25" s="6">
        <v>1</v>
      </c>
    </row>
    <row r="26" spans="3:8" x14ac:dyDescent="0.2">
      <c r="C26" s="2">
        <v>1597</v>
      </c>
      <c r="D26" s="2">
        <v>17293</v>
      </c>
      <c r="E26" s="2">
        <v>20420</v>
      </c>
      <c r="F26" s="4">
        <f>Table145[[#This Row],[גודל מערך]]-1</f>
        <v>1199</v>
      </c>
      <c r="G26" s="4">
        <v>1200</v>
      </c>
      <c r="H26" s="7">
        <v>2</v>
      </c>
    </row>
    <row r="27" spans="3:8" x14ac:dyDescent="0.2">
      <c r="C27" s="2">
        <v>3146</v>
      </c>
      <c r="D27" s="2">
        <v>38979</v>
      </c>
      <c r="E27" s="2">
        <v>45636</v>
      </c>
      <c r="F27" s="3">
        <f>Table145[[#This Row],[גודל מערך]]-1</f>
        <v>2399</v>
      </c>
      <c r="G27" s="3">
        <v>2400</v>
      </c>
      <c r="H27" s="6">
        <v>3</v>
      </c>
    </row>
    <row r="28" spans="3:8" x14ac:dyDescent="0.2">
      <c r="C28" s="2">
        <v>6199</v>
      </c>
      <c r="D28" s="2">
        <v>92401</v>
      </c>
      <c r="E28" s="2">
        <v>100868</v>
      </c>
      <c r="F28" s="4">
        <f>Table145[[#This Row],[גודל מערך]]-1</f>
        <v>4799</v>
      </c>
      <c r="G28" s="4">
        <v>4800</v>
      </c>
      <c r="H28" s="7">
        <v>4</v>
      </c>
    </row>
    <row r="29" spans="3:8" x14ac:dyDescent="0.2">
      <c r="C29" s="2">
        <v>12647</v>
      </c>
      <c r="D29" s="2">
        <v>194176</v>
      </c>
      <c r="E29" s="2">
        <v>220932</v>
      </c>
      <c r="F29" s="3">
        <f>Table145[[#This Row],[גודל מערך]]-1</f>
        <v>9599</v>
      </c>
      <c r="G29" s="3">
        <v>9600</v>
      </c>
      <c r="H29" s="6">
        <v>5</v>
      </c>
    </row>
    <row r="30" spans="3:8" x14ac:dyDescent="0.2">
      <c r="C30" s="2">
        <v>25257</v>
      </c>
      <c r="D30" s="2">
        <v>432869</v>
      </c>
      <c r="E30" s="2">
        <v>480260</v>
      </c>
      <c r="F30" s="4">
        <f>Table145[[#This Row],[גודל מערך]]-1</f>
        <v>19199</v>
      </c>
      <c r="G30" s="4">
        <v>19200</v>
      </c>
      <c r="H30" s="7">
        <v>6</v>
      </c>
    </row>
    <row r="31" spans="3:8" x14ac:dyDescent="0.2">
      <c r="C31" s="2">
        <v>50554</v>
      </c>
      <c r="D31" s="2">
        <v>947814</v>
      </c>
      <c r="E31" s="2">
        <v>1037316</v>
      </c>
      <c r="F31" s="3">
        <f>Table145[[#This Row],[גודל מערך]]-1</f>
        <v>38399</v>
      </c>
      <c r="G31" s="3">
        <v>38400</v>
      </c>
      <c r="H31" s="6">
        <v>7</v>
      </c>
    </row>
    <row r="32" spans="3:8" x14ac:dyDescent="0.2">
      <c r="C32" s="2">
        <v>101016</v>
      </c>
      <c r="D32" s="2">
        <v>2121973</v>
      </c>
      <c r="E32" s="2">
        <v>2228228</v>
      </c>
      <c r="F32" s="4">
        <f>Table145[[#This Row],[גודל מערך]]-1</f>
        <v>76799</v>
      </c>
      <c r="G32" s="4">
        <v>76800</v>
      </c>
      <c r="H32" s="7">
        <v>8</v>
      </c>
    </row>
    <row r="33" spans="3:12" x14ac:dyDescent="0.2">
      <c r="C33" s="2">
        <v>201944</v>
      </c>
      <c r="D33" s="2">
        <v>4281213</v>
      </c>
      <c r="E33" s="2">
        <v>4763652</v>
      </c>
      <c r="F33" s="3">
        <f>Table145[[#This Row],[גודל מערך]]-1</f>
        <v>153599</v>
      </c>
      <c r="G33" s="3">
        <v>153600</v>
      </c>
      <c r="H33" s="6">
        <v>9</v>
      </c>
    </row>
    <row r="34" spans="3:12" x14ac:dyDescent="0.2">
      <c r="C34" s="2">
        <v>402717</v>
      </c>
      <c r="D34" s="2">
        <v>9345867</v>
      </c>
      <c r="E34" s="2">
        <v>10141700</v>
      </c>
      <c r="F34" s="4">
        <f>Table145[[#This Row],[גודל מערך]]-1</f>
        <v>307199</v>
      </c>
      <c r="G34" s="4">
        <v>307200</v>
      </c>
      <c r="H34" s="7">
        <v>10</v>
      </c>
    </row>
    <row r="37" spans="3:12" ht="51" x14ac:dyDescent="0.2">
      <c r="C37" s="8" t="s">
        <v>17</v>
      </c>
      <c r="D37" s="9" t="s">
        <v>16</v>
      </c>
      <c r="E37" s="1" t="s">
        <v>15</v>
      </c>
      <c r="F37" s="1" t="s">
        <v>14</v>
      </c>
      <c r="G37" s="2" t="s">
        <v>13</v>
      </c>
      <c r="H37" s="2" t="s">
        <v>12</v>
      </c>
      <c r="I37" s="2" t="s">
        <v>11</v>
      </c>
      <c r="J37" s="2" t="s">
        <v>10</v>
      </c>
      <c r="K37" s="2" t="s">
        <v>9</v>
      </c>
      <c r="L37" s="2" t="s">
        <v>0</v>
      </c>
    </row>
    <row r="38" spans="3:12" x14ac:dyDescent="0.2">
      <c r="C38" s="10">
        <v>777</v>
      </c>
      <c r="D38" s="10">
        <f xml:space="preserve"> Table146[[#This Row],[גודל מערך]] * LOG(C18/Table146[[#This Row],[גודל מערך]] +2, 2)</f>
        <v>796.03744869071011</v>
      </c>
      <c r="E38" s="11">
        <v>7612</v>
      </c>
      <c r="F38" s="11">
        <f xml:space="preserve"> Table146[[#This Row],[גודל מערך]] * LOG(D18/Table146[[#This Row],[גודל מערך]] +2, 2)</f>
        <v>4375.0984080895396</v>
      </c>
      <c r="G38" s="11">
        <v>9012</v>
      </c>
      <c r="H38" s="2">
        <f xml:space="preserve"> Table146[[#This Row],[גודל מערך]] * LOG(E18/Table146[[#This Row],[גודל מערך]] +2, 2)</f>
        <v>4941.6085151400512</v>
      </c>
      <c r="I38" s="3">
        <v>599</v>
      </c>
      <c r="J38" s="2">
        <f xml:space="preserve"> Table146[[#This Row],[גודל מערך]] * LOG(F18/Table146[[#This Row],[גודל מערך]] +2, 2)</f>
        <v>600</v>
      </c>
      <c r="K38" s="2">
        <v>600</v>
      </c>
      <c r="L38" s="2">
        <v>1</v>
      </c>
    </row>
    <row r="39" spans="3:12" x14ac:dyDescent="0.2">
      <c r="C39" s="12">
        <v>1597</v>
      </c>
      <c r="D39" s="12">
        <f xml:space="preserve"> Table146[[#This Row],[גודל מערך]] * LOG(C19/Table146[[#This Row],[גודל מערך]] +2, 2)</f>
        <v>1586.3137138648349</v>
      </c>
      <c r="E39" s="13">
        <v>17293</v>
      </c>
      <c r="F39" s="13">
        <f xml:space="preserve"> Table146[[#This Row],[גודל מערך]] * LOG(D19/Table146[[#This Row],[גודל מערך]] +2, 2)</f>
        <v>9862.2226064173738</v>
      </c>
      <c r="G39" s="13">
        <v>20420</v>
      </c>
      <c r="H39" s="2">
        <f xml:space="preserve"> Table146[[#This Row],[גודל מערך]] * LOG(E19/Table146[[#This Row],[גודל מערך]] +2, 2)</f>
        <v>11078.905112611294</v>
      </c>
      <c r="I39" s="4">
        <v>1199</v>
      </c>
      <c r="J39" s="2">
        <f xml:space="preserve"> Table146[[#This Row],[גודל מערך]] * LOG(F19/Table146[[#This Row],[גודל מערך]] +2, 2)</f>
        <v>1200</v>
      </c>
      <c r="K39" s="2">
        <v>1200</v>
      </c>
      <c r="L39" s="2">
        <v>2</v>
      </c>
    </row>
    <row r="40" spans="3:12" x14ac:dyDescent="0.2">
      <c r="C40" s="10">
        <v>3146</v>
      </c>
      <c r="D40" s="10">
        <f xml:space="preserve"> Table146[[#This Row],[גודל מערך]] * LOG(C20/Table146[[#This Row],[גודל מערך]] +2, 2)</f>
        <v>3140.7417699291291</v>
      </c>
      <c r="E40" s="11">
        <v>38979</v>
      </c>
      <c r="F40" s="11">
        <f xml:space="preserve"> Table146[[#This Row],[גודל מערך]] * LOG(D20/Table146[[#This Row],[גודל מערך]] +2, 2)</f>
        <v>22168.73490890523</v>
      </c>
      <c r="G40" s="11">
        <v>45636</v>
      </c>
      <c r="H40" s="2">
        <f xml:space="preserve"> Table146[[#This Row],[גודל מערך]] * LOG(E20/Table146[[#This Row],[גודל מערך]] +2, 2)</f>
        <v>24553.490239511681</v>
      </c>
      <c r="I40" s="3">
        <v>2399</v>
      </c>
      <c r="J40" s="2">
        <f xml:space="preserve"> Table146[[#This Row],[גודל מערך]] * LOG(F20/Table146[[#This Row],[גודל מערך]] +2, 2)</f>
        <v>2400</v>
      </c>
      <c r="K40" s="2">
        <v>2400</v>
      </c>
      <c r="L40" s="2">
        <v>3</v>
      </c>
    </row>
    <row r="41" spans="3:12" x14ac:dyDescent="0.2">
      <c r="C41" s="12">
        <v>6199</v>
      </c>
      <c r="D41" s="12">
        <f xml:space="preserve"> Table146[[#This Row],[גודל מערך]] * LOG(C21/Table146[[#This Row],[גודל מערך]] +2, 2)</f>
        <v>6341.2141306855101</v>
      </c>
      <c r="E41" s="13">
        <v>92401</v>
      </c>
      <c r="F41" s="13">
        <f xml:space="preserve"> Table146[[#This Row],[גודל מערך]] * LOG(D21/Table146[[#This Row],[גודל מערך]] +2, 2)</f>
        <v>49016.350944672908</v>
      </c>
      <c r="G41" s="13">
        <v>100868</v>
      </c>
      <c r="H41" s="2">
        <f xml:space="preserve"> Table146[[#This Row],[גודל מערך]] * LOG(E21/Table146[[#This Row],[גודל מערך]] +2, 2)</f>
        <v>53902.656447539579</v>
      </c>
      <c r="I41" s="4">
        <v>4799</v>
      </c>
      <c r="J41" s="2">
        <f xml:space="preserve"> Table146[[#This Row],[גודל מערך]] * LOG(F21/Table146[[#This Row],[גודל מערך]] +2, 2)</f>
        <v>4800</v>
      </c>
      <c r="K41" s="2">
        <v>4800</v>
      </c>
      <c r="L41" s="2">
        <v>4</v>
      </c>
    </row>
    <row r="42" spans="3:12" x14ac:dyDescent="0.2">
      <c r="C42" s="10">
        <v>12647</v>
      </c>
      <c r="D42" s="10">
        <f xml:space="preserve"> Table146[[#This Row],[גודל מערך]] * LOG(C22/Table146[[#This Row],[גודל מערך]] +2, 2)</f>
        <v>12695.702439490113</v>
      </c>
      <c r="E42" s="11">
        <v>194176</v>
      </c>
      <c r="F42" s="11">
        <f xml:space="preserve"> Table146[[#This Row],[גודל מערך]] * LOG(D22/Table146[[#This Row],[גודל מערך]] +2, 2)</f>
        <v>107852.13521581482</v>
      </c>
      <c r="G42" s="11">
        <v>220932</v>
      </c>
      <c r="H42" s="2">
        <f xml:space="preserve"> Table146[[#This Row],[גודל מערך]] * LOG(E22/Table146[[#This Row],[גודל מערך]] +2, 2)</f>
        <v>117400.98683776069</v>
      </c>
      <c r="I42" s="3">
        <v>9599</v>
      </c>
      <c r="J42" s="2">
        <f xml:space="preserve"> Table146[[#This Row],[גודל מערך]] * LOG(F22/Table146[[#This Row],[גודל מערך]] +2, 2)</f>
        <v>9600</v>
      </c>
      <c r="K42" s="2">
        <v>9600</v>
      </c>
      <c r="L42" s="2">
        <v>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רועי בן-שחר</dc:creator>
  <cp:lastModifiedBy>רועי בן-שחר</cp:lastModifiedBy>
  <dcterms:created xsi:type="dcterms:W3CDTF">2025-12-18T12:25:40Z</dcterms:created>
  <dcterms:modified xsi:type="dcterms:W3CDTF">2025-12-21T15:23:45Z</dcterms:modified>
</cp:coreProperties>
</file>